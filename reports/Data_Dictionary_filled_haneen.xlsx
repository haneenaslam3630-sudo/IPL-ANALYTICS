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structions" sheetId="1" state="visible" r:id="rId3"/>
    <sheet name="0. Dataset Overview" sheetId="2" state="visible" r:id="rId4"/>
    <sheet name="1. Data Dictionary" sheetId="3" state="visible" r:id="rId5"/>
    <sheet name="2. Relationships" sheetId="4" state="visible" r:id="rId6"/>
    <sheet name="3. Data Quality Log" sheetId="5" state="visible" r:id="rId7"/>
    <sheet name="4. Overall Summary" sheetId="6" state="visible" r:id="rId8"/>
  </sheets>
  <definedNames>
    <definedName function="false" hidden="true" localSheetId="3" name="_xlnm._FilterDatabase" vbProcedure="false">'2. Relationships'!$A$4:$F$4</definedName>
    <definedName function="false" hidden="true" localSheetId="4" name="_xlnm._FilterDatabase" vbProcedure="false">'3. Data Quality Log'!$A$4:$F$4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<sst xmlns="http://schemas.openxmlformats.org/spreadsheetml/2006/main" count="312" uniqueCount="189">
  <si>
    <t xml:space="preserve">Data Dictionary — Preparation Template</t>
  </si>
  <si>
    <t xml:space="preserve">Robomy OJT · Semester 3 · Step 1, Explore &amp; Requirements</t>
  </si>
  <si>
    <t xml:space="preserve">Purpose</t>
  </si>
  <si>
    <t xml:space="preserve">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</si>
  <si>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 xml:space="preserve">How to fill it in</t>
  </si>
  <si>
    <t xml:space="preserve">Work through the tabs in order — each one builds on the last.</t>
  </si>
  <si>
    <t xml:space="preserve">0. Dataset Overview</t>
  </si>
  <si>
    <t xml:space="preserve">One-time, project-level context: what the dataset is, where it came from, why it matters to the business.</t>
  </si>
  <si>
    <t xml:space="preserve">1. Data Dictionary</t>
  </si>
  <si>
    <t xml:space="preserve">The core tab. One block per file, and inside each block, one section per sheet. See below for how a block is laid out.</t>
  </si>
  <si>
    <t xml:space="preserve">2. Relationships</t>
  </si>
  <si>
    <t xml:space="preserve">How the files/tables connect to each other — the join keys. Every dataset in this programme is relational, so this tab is never empty.</t>
  </si>
  <si>
    <t xml:space="preserve">3. Data Quality Log</t>
  </si>
  <si>
    <t xml:space="preserve">Anything odd you notice while inspecting — missing values, inconsistent naming, duplicate rows, impossible values. Log it here as you go, don't wait.</t>
  </si>
  <si>
    <t xml:space="preserve">4. Overall Summary</t>
  </si>
  <si>
    <t xml:space="preserve">Fill this in last. A short, honest wrap-up of what you now know about the dataset and whether it's ready for the SQL step.</t>
  </si>
  <si>
    <t xml:space="preserve">How a Data Dictionary block is laid out</t>
  </si>
  <si>
    <t xml:space="preserve">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</si>
  <si>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 xml:space="preserve">A file with more than one sheet?</t>
  </si>
  <si>
    <t xml:space="preserve">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</si>
  <si>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 xml:space="preserve">More columns than the template allows for?</t>
  </si>
  <si>
    <t xml:space="preserve">Each SHEET section has 20 ready-made column slots. If a sheet has more columns than that, select the last slot column, copy it, and insert as many more as you need immediately to its left — the row labels and shading carry across automatically.</t>
  </si>
  <si>
    <t xml:space="preserve">More files than the template allows for?</t>
  </si>
  <si>
    <t xml:space="preserve">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</si>
  <si>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 xml:space="preserve">If a file is too large to open fully</t>
  </si>
  <si>
    <t xml:space="preserve">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</si>
  <si>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 xml:space="preserve">Colour key</t>
  </si>
  <si>
    <t xml:space="preserve">Yellow</t>
  </si>
  <si>
    <t xml:space="preserve">Cells you fill in.</t>
  </si>
  <si>
    <t xml:space="preserve">Grey italic</t>
  </si>
  <si>
    <t xml:space="preserve">A worked example block, using a generic sample retail dataset — not any real project — with two sheets, to show the sheet-copy pattern in action. Delete or overwrite it before submitting.</t>
  </si>
  <si>
    <t xml:space="preserve">Blue labels</t>
  </si>
  <si>
    <t xml:space="preserve">FILE INFO — once per file.</t>
  </si>
  <si>
    <t xml:space="preserve">Purple / Navy / Gold labels</t>
  </si>
  <si>
    <t xml:space="preserve">SHEET section — repeatable per sheet. Don't rename, reorder, or delete these labels; the trainer reviews multiple submissions against the same layout.</t>
  </si>
  <si>
    <t xml:space="preserve">One workbook per project</t>
  </si>
  <si>
    <t xml:space="preserve">Use one copy of this template for the whole dataset (all files/tables belonging to one project), not one per file. The Relationships tab only makes sense if every file is recorded in the same workbook.</t>
  </si>
  <si>
    <t xml:space="preserve">Fill in once, at project level. Applies to whichever dataset you've been assigned.</t>
  </si>
  <si>
    <t xml:space="preserve">Project name</t>
  </si>
  <si>
    <t xml:space="preserve">[e.g. the project/domain you were assigned]</t>
  </si>
  <si>
    <t xml:space="preserve">Trainee name</t>
  </si>
  <si>
    <t xml:space="preserve">[Your name]</t>
  </si>
  <si>
    <t xml:space="preserve">Date prepared</t>
  </si>
  <si>
    <t xml:space="preserve">[DD-MM-YYYY]</t>
  </si>
  <si>
    <t xml:space="preserve">Dataset source</t>
  </si>
  <si>
    <t xml:space="preserve">[e.g. Kaggle, client-provided export, company database]</t>
  </si>
  <si>
    <t xml:space="preserve">Business domain</t>
  </si>
  <si>
    <t xml:space="preserve">[e.g. Retail, Telecom, Banking, Healthcare, Transport, Education...]</t>
  </si>
  <si>
    <t xml:space="preserve">Business context — why this data matters</t>
  </si>
  <si>
    <t xml:space="preserve">[The business question your project is meant to help answer]</t>
  </si>
  <si>
    <t xml:space="preserve">Total files/tables in this dataset</t>
  </si>
  <si>
    <t xml:space="preserve">[Count]</t>
  </si>
  <si>
    <t xml:space="preserve">Total approximate size (all files combined)</t>
  </si>
  <si>
    <t xml:space="preserve">[e.g. 25 MB]</t>
  </si>
  <si>
    <t xml:space="preserve">Blue = file info, once per file. Purple/navy/gold = one sheet's worth of columns — copy just that part if a file has more than one sheet.</t>
  </si>
  <si>
    <t xml:space="preserve">FILE / TABLE NAME</t>
  </si>
  <si>
    <t xml:space="preserve">Sample_Retail_Data.xlsx   (EXAMPLE — illustrative only, not a real project file)</t>
  </si>
  <si>
    <t xml:space="preserve">FILE DESCRIPTION</t>
  </si>
  <si>
    <t xml:space="preserve">Client-style export covering retail transactions and refunds for a sample period.</t>
  </si>
  <si>
    <t xml:space="preserve">FILE STATS</t>
  </si>
  <si>
    <t xml:space="preserve">Format</t>
  </si>
  <si>
    <t xml:space="preserve">File Size</t>
  </si>
  <si>
    <t xml:space="preserve">Sampling used?</t>
  </si>
  <si>
    <t xml:space="preserve">XLSX</t>
  </si>
  <si>
    <t xml:space="preserve">4.6 MB</t>
  </si>
  <si>
    <t xml:space="preserve">No — full file opened.</t>
  </si>
  <si>
    <t xml:space="preserve">SHEET NAME</t>
  </si>
  <si>
    <t xml:space="preserve">transactions</t>
  </si>
  <si>
    <t xml:space="preserve">SHEET DESCRIPTION</t>
  </si>
  <si>
    <t xml:space="preserve">One row per retail transaction: customer, product category, amount, date, payment method.</t>
  </si>
  <si>
    <t xml:space="preserve">SHEET STATS</t>
  </si>
  <si>
    <t xml:space="preserve">Approx. Rows</t>
  </si>
  <si>
    <t xml:space="preserve">Approx. Cols</t>
  </si>
  <si>
    <t xml:space="preserve">COLUMN NAME  →</t>
  </si>
  <si>
    <t xml:space="preserve">transaction_id</t>
  </si>
  <si>
    <t xml:space="preserve">transaction_date</t>
  </si>
  <si>
    <t xml:space="preserve">category</t>
  </si>
  <si>
    <t xml:space="preserve">amount</t>
  </si>
  <si>
    <t xml:space="preserve">payment_method</t>
  </si>
  <si>
    <t xml:space="preserve">customer_id</t>
  </si>
  <si>
    <t xml:space="preserve">Business Description</t>
  </si>
  <si>
    <t xml:space="preserve">Unique ID for each transaction.</t>
  </si>
  <si>
    <t xml:space="preserve">Date the transaction occurred.</t>
  </si>
  <si>
    <t xml:space="preserve">Product category purchased.</t>
  </si>
  <si>
    <t xml:space="preserve">Transaction value, local currency.</t>
  </si>
  <si>
    <t xml:space="preserve">How the customer paid.</t>
  </si>
  <si>
    <t xml:space="preserve">Links to the customer master file.</t>
  </si>
  <si>
    <t xml:space="preserve">Data Type</t>
  </si>
  <si>
    <t xml:space="preserve">ID/Key</t>
  </si>
  <si>
    <t xml:space="preserve">Date/Time</t>
  </si>
  <si>
    <t xml:space="preserve">Categorical</t>
  </si>
  <si>
    <t xml:space="preserve">Currency</t>
  </si>
  <si>
    <t xml:space="preserve">Key Type</t>
  </si>
  <si>
    <t xml:space="preserve">Primary Key</t>
  </si>
  <si>
    <t xml:space="preserve">None</t>
  </si>
  <si>
    <t xml:space="preserve">Foreign Key</t>
  </si>
  <si>
    <t xml:space="preserve">Sample Values</t>
  </si>
  <si>
    <t xml:space="preserve">TXN00001, TXN00002 ...</t>
  </si>
  <si>
    <t xml:space="preserve">01-01-2024, 02-01-2024 ...</t>
  </si>
  <si>
    <t xml:space="preserve">Electronics, Groceries ...</t>
  </si>
  <si>
    <t xml:space="preserve">499.00, 1250.50 ...</t>
  </si>
  <si>
    <t xml:space="preserve">Card, Cash, UPI</t>
  </si>
  <si>
    <t xml:space="preserve">CUST1001, CUST1002 ...</t>
  </si>
  <si>
    <t xml:space="preserve">Distinct Count</t>
  </si>
  <si>
    <t xml:space="preserve">—</t>
  </si>
  <si>
    <t xml:space="preserve">Unique Values (if ≤20)</t>
  </si>
  <si>
    <t xml:space="preserve">Electronics, Groceries, Apparel, Home, Beauty, Sports, Books, Toys (8)</t>
  </si>
  <si>
    <t xml:space="preserve">Card, Cash, UPI (3)</t>
  </si>
  <si>
    <t xml:space="preserve">% Missing</t>
  </si>
  <si>
    <t xml:space="preserve">0%</t>
  </si>
  <si>
    <t xml:space="preserve">0.2%</t>
  </si>
  <si>
    <t xml:space="preserve">1.1%</t>
  </si>
  <si>
    <t xml:space="preserve">Data Quality Notes</t>
  </si>
  <si>
    <t xml:space="preserve">None.</t>
  </si>
  <si>
    <t xml:space="preserve">A few refund rows show negative amounts — confirm with data owner whether these belong in revenue totals.</t>
  </si>
  <si>
    <t xml:space="preserve">Missing where a transaction was a guest checkout — expected, not an error.</t>
  </si>
  <si>
    <t xml:space="preserve">How the files/tables join. Every dataset in this programme is relational — this tab should never be empty.</t>
  </si>
  <si>
    <t xml:space="preserve">Table A</t>
  </si>
  <si>
    <t xml:space="preserve">Key Column (A)</t>
  </si>
  <si>
    <t xml:space="preserve">Table B</t>
  </si>
  <si>
    <t xml:space="preserve">Key Column (B)</t>
  </si>
  <si>
    <t xml:space="preserve">Relationship Type</t>
  </si>
  <si>
    <t xml:space="preserve">Description</t>
  </si>
  <si>
    <t xml:space="preserve">Sample_Customers.csv</t>
  </si>
  <si>
    <t xml:space="preserve">Sample_Transactions.csv</t>
  </si>
  <si>
    <t xml:space="preserve">One-to-Many</t>
  </si>
  <si>
    <t xml:space="preserve">EXAMPLE — each customer can have many transactions.</t>
  </si>
  <si>
    <t xml:space="preserve">Log issues as you find them during inspection — don't wait until the end.</t>
  </si>
  <si>
    <t xml:space="preserve">#</t>
  </si>
  <si>
    <t xml:space="preserve">File / Column Affected</t>
  </si>
  <si>
    <t xml:space="preserve">Issue Description</t>
  </si>
  <si>
    <t xml:space="preserve">Severity</t>
  </si>
  <si>
    <t xml:space="preserve">Recommended Action</t>
  </si>
  <si>
    <t xml:space="preserve">Status</t>
  </si>
  <si>
    <t xml:space="preserve">Sample_Transactions.csv / amount</t>
  </si>
  <si>
    <t xml:space="preserve">A few refund rows show negative transaction amounts.</t>
  </si>
  <si>
    <t xml:space="preserve">Low</t>
  </si>
  <si>
    <t xml:space="preserve">Confirm with the data owner whether negative amounts should be excluded from revenue totals.</t>
  </si>
  <si>
    <t xml:space="preserve">Open</t>
  </si>
  <si>
    <t xml:space="preserve">matches.venue</t>
  </si>
  <si>
    <t xml:space="preserve">59 spellings represent 41 actual venues</t>
  </si>
  <si>
    <t xml:space="preserve">High</t>
  </si>
  <si>
    <t xml:space="preserve">Normalize venue names in Step 2; verify count becomes 41</t>
  </si>
  <si>
    <t xml:space="preserve">venues.venue</t>
  </si>
  <si>
    <t xml:space="preserve">4 duplicate venue rows; causes 104 extra rows in a join</t>
  </si>
  <si>
    <t xml:space="preserve">Deduplicate venue table before joins</t>
  </si>
  <si>
    <t xml:space="preserve">teams.team_name</t>
  </si>
  <si>
    <t xml:space="preserve">Rising Pune Supergiant and Rising Pune Supergiants represent the same team</t>
  </si>
  <si>
    <t xml:space="preserve">Medium</t>
  </si>
  <si>
    <t xml:space="preserve">Merge into Rising Pune Supergiant</t>
  </si>
  <si>
    <t xml:space="preserve">Gujarat Lions and Gujarat Titans look similar but are different franchises</t>
  </si>
  <si>
    <t xml:space="preserve">Do not merge</t>
  </si>
  <si>
    <t xml:space="preserve">deliveries.bowler_type</t>
  </si>
  <si>
    <t xml:space="preserve">339 NULLs + 8 single-space values</t>
  </si>
  <si>
    <t xml:space="preserve">Convert whitespace-only values to NULL</t>
  </si>
  <si>
    <t xml:space="preserve">Right arm Fast medium and Right arm Fast Medium are capitalization variants</t>
  </si>
  <si>
    <t xml:space="preserve">Standardize capitalization</t>
  </si>
  <si>
    <t xml:space="preserve">players.field_pos</t>
  </si>
  <si>
    <t xml:space="preserve">612 spaces + 88 NULLs</t>
  </si>
  <si>
    <t xml:space="preserve">matches.player_of_match</t>
  </si>
  <si>
    <t xml:space="preserve">9 empty strings</t>
  </si>
  <si>
    <t xml:space="preserve">Convert empty strings to NULL</t>
  </si>
  <si>
    <t xml:space="preserve">matches.result</t>
  </si>
  <si>
    <t xml:space="preserve">9 no-result matches still contain a match_winner</t>
  </si>
  <si>
    <t xml:space="preserve">Define and document the win-counting rule</t>
  </si>
  <si>
    <t xml:space="preserve">deliveries.fielders_involved</t>
  </si>
  <si>
    <t xml:space="preserve">Multiple names are stored in one cell</t>
  </si>
  <si>
    <t xml:space="preserve">Parse using Pandas in Step 2</t>
  </si>
  <si>
    <t xml:space="preserve">deliveries.batter / players.player_name</t>
  </si>
  <si>
    <t xml:space="preserve">No database key constraint enforces the relationship</t>
  </si>
  <si>
    <t xml:space="preserve">Record as a relationship risk and monitor</t>
  </si>
  <si>
    <t xml:space="preserve">matches.season</t>
  </si>
  <si>
    <t xml:space="preserve">2020/21 has a different format from other seasons</t>
  </si>
  <si>
    <t xml:space="preserve">Handle when converting season to year</t>
  </si>
  <si>
    <t xml:space="preserve">Fill this in last, once tabs 0-3 are complete. Totals below cover the 2 built-in blocks only — add to them by hand if you copy-pasted extra files or sheets.</t>
  </si>
  <si>
    <t xml:space="preserve">Total files/tables catalogued (built-in blocks)</t>
  </si>
  <si>
    <t xml:space="preserve">Total rows across those files (approx.)</t>
  </si>
  <si>
    <t xml:space="preserve">Total columns catalogued (built-in blocks)</t>
  </si>
  <si>
    <t xml:space="preserve">Open data quality issues</t>
  </si>
  <si>
    <t xml:space="preserve">Key entities identified</t>
  </si>
  <si>
    <t xml:space="preserve">[e.g. Customer, Transaction, Product — whatever applies to your dataset]</t>
  </si>
  <si>
    <t xml:space="preserve">Overall data quality rating (Good / Fair / Poor) and why</t>
  </si>
  <si>
    <t xml:space="preserve">Is this dataset ready for the SQL step as-is?</t>
  </si>
  <si>
    <t xml:space="preserve">Yes / Partial / No — explain what's blocking, if anything</t>
  </si>
  <si>
    <t xml:space="preserve">Business questions this dataset can answer</t>
  </si>
  <si>
    <t xml:space="preserve">List the 3 you identified during exploration</t>
  </si>
  <si>
    <t xml:space="preserve">Business questions this dataset CANNOT answer (data not available)</t>
  </si>
  <si>
    <t xml:space="preserve">Prepared by</t>
  </si>
  <si>
    <t xml:space="preserve">Date</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</si>
</sst>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6"/>
      <color rgb="FF143963"/>
      <name val="Arial"/>
      <family val="0"/>
      <charset val="1"/>
    </font>
    <font>
      <i val="true"/>
      <sz val="10"/>
      <color rgb="FF5F5E5A"/>
      <name val="Arial"/>
      <family val="0"/>
      <charset val="1"/>
    </font>
    <font>
      <b val="true"/>
      <sz val="10"/>
      <color rgb="FF143963"/>
      <name val="Arial"/>
      <family val="0"/>
      <charset val="1"/>
    </font>
    <font>
      <sz val="10"/>
      <color rgb="FF1A1A1A"/>
      <name val="Arial"/>
      <family val="0"/>
      <charset val="1"/>
    </font>
    <font>
      <sz val="10"/>
      <color rgb="FFFFFFFF"/>
      <name val="Arial"/>
      <family val="0"/>
      <charset val="1"/>
    </font>
    <font>
      <b val="true"/>
      <sz val="9.5"/>
      <color rgb="FFFFFFFF"/>
      <name val="Arial"/>
      <family val="0"/>
      <charset val="1"/>
    </font>
    <font>
      <b val="true"/>
      <sz val="8.5"/>
      <color rgb="FF5F5E5A"/>
      <name val="Arial"/>
      <family val="0"/>
      <charset val="1"/>
    </font>
    <font>
      <b val="true"/>
      <i val="true"/>
      <sz val="10"/>
      <color rgb="FF5F5E5A"/>
      <name val="Arial"/>
      <family val="0"/>
      <charset val="1"/>
    </font>
    <font>
      <b val="true"/>
      <sz val="9.5"/>
      <color rgb="FF1A1A1A"/>
      <name val="Arial"/>
      <family val="0"/>
      <charset val="1"/>
    </font>
    <font>
      <b val="true"/>
      <sz val="11"/>
      <color rgb="FFFFFFFF"/>
      <name val="Arial"/>
      <family val="0"/>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diagonalUp="false" diagonalDown="false">
      <left/>
      <right/>
      <top/>
      <bottom/>
      <diagonal/>
    </border>
    <border diagonalUp="false" diagonalDown="false">
      <left style="thin">
        <color rgb="FFC9CFD8"/>
      </left>
      <right style="thin">
        <color rgb="FFC9CFD8"/>
      </right>
      <top style="thin">
        <color rgb="FFC9CFD8"/>
      </top>
      <bottom style="thin">
        <color rgb="FFC9CFD8"/>
      </bottom>
      <diagonal/>
    </border>
    <border diagonalUp="false" diagonalDown="false">
      <left style="thin">
        <color rgb="FFC9CFD8"/>
      </left>
      <right style="thin">
        <color rgb="FFC9CFD8"/>
      </right>
      <top style="medium">
        <color rgb="FF143963"/>
      </top>
      <bottom style="thin">
        <color rgb="FFC9CF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1" shrinkToFit="false"/>
      <protection locked="true" hidden="false"/>
    </xf>
    <xf numFmtId="164" fontId="5" fillId="3" borderId="2" xfId="0" applyFont="true" applyBorder="true" applyAlignment="true" applyProtection="false">
      <alignment horizontal="left" vertical="center" textRotation="0" wrapText="true" indent="1" shrinkToFit="false"/>
      <protection locked="true" hidden="false"/>
    </xf>
    <xf numFmtId="164" fontId="5" fillId="3" borderId="1" xfId="0" applyFont="true" applyBorder="true" applyAlignment="true" applyProtection="false">
      <alignment horizontal="left" vertical="center" textRotation="0" wrapText="true" indent="1"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1"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1"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1" shrinkToFit="false"/>
      <protection locked="true" hidden="false"/>
    </xf>
    <xf numFmtId="165" fontId="5" fillId="3"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43963"/>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B2: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2"/>
  </cols>
  <sheetData>
    <row r="2" customFormat="false" ht="21" hidden="false" customHeight="true" outlineLevel="0" collapsed="false">
      <c r="B2" s="1" t="s">
        <v>0</v>
      </c>
    </row>
    <row r="3" customFormat="false" ht="14.25" hidden="false" customHeight="false" outlineLevel="0" collapsed="false">
      <c r="B3" s="2" t="s">
        <v>1</v>
      </c>
    </row>
    <row r="5" customFormat="false" ht="39" hidden="false" customHeight="true" outlineLevel="0" collapsed="false">
      <c r="B5" s="3" t="s">
        <v>2</v>
      </c>
      <c r="C5" s="4" t="s">
        <v>3</v>
      </c>
    </row>
    <row r="7" customFormat="false" ht="14.25" hidden="false" customHeight="false" outlineLevel="0" collapsed="false">
      <c r="B7" s="3" t="s">
        <v>4</v>
      </c>
      <c r="C7" s="5" t="s">
        <v>5</v>
      </c>
    </row>
    <row r="8" customFormat="false" ht="14.25" hidden="false" customHeight="false" outlineLevel="0" collapsed="false">
      <c r="B8" s="4" t="s">
        <v>6</v>
      </c>
      <c r="C8" s="4" t="s">
        <v>7</v>
      </c>
    </row>
    <row r="9" customFormat="false" ht="26.25" hidden="false" customHeight="true" outlineLevel="0" collapsed="false">
      <c r="B9" s="4" t="s">
        <v>8</v>
      </c>
      <c r="C9" s="4" t="s">
        <v>9</v>
      </c>
    </row>
    <row r="10" customFormat="false" ht="26.25" hidden="false" customHeight="true" outlineLevel="0" collapsed="false">
      <c r="B10" s="4" t="s">
        <v>10</v>
      </c>
      <c r="C10" s="4" t="s">
        <v>11</v>
      </c>
    </row>
    <row r="11" customFormat="false" ht="26.25" hidden="false" customHeight="true" outlineLevel="0" collapsed="false">
      <c r="B11" s="4" t="s">
        <v>12</v>
      </c>
      <c r="C11" s="4" t="s">
        <v>13</v>
      </c>
    </row>
    <row r="12" customFormat="false" ht="26.25" hidden="false" customHeight="true" outlineLevel="0" collapsed="false">
      <c r="B12" s="4" t="s">
        <v>14</v>
      </c>
      <c r="C12" s="4" t="s">
        <v>15</v>
      </c>
    </row>
    <row r="14" customFormat="false" ht="144.75" hidden="false" customHeight="true" outlineLevel="0" collapsed="false">
      <c r="B14" s="3" t="s">
        <v>16</v>
      </c>
      <c r="C14" s="4" t="s">
        <v>17</v>
      </c>
    </row>
    <row r="16" customFormat="false" ht="64.5" hidden="false" customHeight="true" outlineLevel="0" collapsed="false">
      <c r="B16" s="3" t="s">
        <v>18</v>
      </c>
      <c r="C16" s="4" t="s">
        <v>19</v>
      </c>
    </row>
    <row r="18" customFormat="false" ht="49.5" hidden="false" customHeight="true" outlineLevel="0" collapsed="false">
      <c r="B18" s="3" t="s">
        <v>20</v>
      </c>
      <c r="C18" s="4" t="s">
        <v>21</v>
      </c>
    </row>
    <row r="20" customFormat="false" ht="64.5" hidden="false" customHeight="true" outlineLevel="0" collapsed="false">
      <c r="B20" s="3" t="s">
        <v>22</v>
      </c>
      <c r="C20" s="4" t="s">
        <v>23</v>
      </c>
    </row>
    <row r="22" customFormat="false" ht="90" hidden="false" customHeight="true" outlineLevel="0" collapsed="false">
      <c r="B22" s="3" t="s">
        <v>24</v>
      </c>
      <c r="C22" s="4" t="s">
        <v>25</v>
      </c>
    </row>
    <row r="24" customFormat="false" ht="14.25" hidden="false" customHeight="false" outlineLevel="0" collapsed="false">
      <c r="B24" s="3" t="s">
        <v>26</v>
      </c>
    </row>
    <row r="25" customFormat="false" ht="14.25" hidden="false" customHeight="false" outlineLevel="0" collapsed="false">
      <c r="B25" s="6" t="s">
        <v>27</v>
      </c>
      <c r="C25" s="5" t="s">
        <v>28</v>
      </c>
    </row>
    <row r="26" customFormat="false" ht="26.25" hidden="false" customHeight="true" outlineLevel="0" collapsed="false">
      <c r="B26" s="7" t="s">
        <v>29</v>
      </c>
      <c r="C26" s="4" t="s">
        <v>30</v>
      </c>
    </row>
    <row r="27" customFormat="false" ht="14.25" hidden="false" customHeight="false" outlineLevel="0" collapsed="false">
      <c r="B27" s="8" t="s">
        <v>31</v>
      </c>
      <c r="C27" s="5" t="s">
        <v>32</v>
      </c>
    </row>
    <row r="28" customFormat="false" ht="26.25" hidden="false" customHeight="true" outlineLevel="0" collapsed="false">
      <c r="B28" s="9" t="s">
        <v>33</v>
      </c>
      <c r="C28" s="4" t="s">
        <v>34</v>
      </c>
    </row>
    <row r="31" customFormat="false" ht="26.25" hidden="false" customHeight="true" outlineLevel="0" collapsed="false">
      <c r="B31" s="3" t="s">
        <v>35</v>
      </c>
      <c r="C31" s="4" t="s">
        <v>36</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B2: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66796875" defaultRowHeight="14.2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s>
  <sheetData>
    <row r="2" customFormat="false" ht="21" hidden="false" customHeight="true" outlineLevel="0" collapsed="false">
      <c r="B2" s="1" t="s">
        <v>6</v>
      </c>
    </row>
    <row r="3" customFormat="false" ht="14.25" hidden="false" customHeight="false" outlineLevel="0" collapsed="false">
      <c r="B3" s="2" t="s">
        <v>37</v>
      </c>
    </row>
    <row r="5" customFormat="false" ht="19.5" hidden="false" customHeight="true" outlineLevel="0" collapsed="false">
      <c r="B5" s="10" t="s">
        <v>38</v>
      </c>
      <c r="C5" s="11" t="s">
        <v>39</v>
      </c>
    </row>
    <row r="6" customFormat="false" ht="19.5" hidden="false" customHeight="true" outlineLevel="0" collapsed="false">
      <c r="B6" s="10" t="s">
        <v>40</v>
      </c>
      <c r="C6" s="11" t="s">
        <v>41</v>
      </c>
    </row>
    <row r="7" customFormat="false" ht="19.5" hidden="false" customHeight="true" outlineLevel="0" collapsed="false">
      <c r="B7" s="10" t="s">
        <v>42</v>
      </c>
      <c r="C7" s="11" t="s">
        <v>43</v>
      </c>
    </row>
    <row r="8" customFormat="false" ht="19.5" hidden="false" customHeight="true" outlineLevel="0" collapsed="false">
      <c r="B8" s="10" t="s">
        <v>44</v>
      </c>
      <c r="C8" s="11" t="s">
        <v>45</v>
      </c>
    </row>
    <row r="9" customFormat="false" ht="19.5" hidden="false" customHeight="true" outlineLevel="0" collapsed="false">
      <c r="B9" s="10" t="s">
        <v>46</v>
      </c>
      <c r="C9" s="11" t="s">
        <v>47</v>
      </c>
    </row>
    <row r="10" customFormat="false" ht="31.5" hidden="false" customHeight="true" outlineLevel="0" collapsed="false">
      <c r="B10" s="10" t="s">
        <v>48</v>
      </c>
      <c r="C10" s="11" t="s">
        <v>49</v>
      </c>
    </row>
    <row r="11" customFormat="false" ht="19.5" hidden="false" customHeight="true" outlineLevel="0" collapsed="false">
      <c r="B11" s="10" t="s">
        <v>50</v>
      </c>
      <c r="C11" s="11" t="s">
        <v>51</v>
      </c>
    </row>
    <row r="12" customFormat="false" ht="31.5" hidden="false" customHeight="true" outlineLevel="0" collapsed="false">
      <c r="B12" s="10" t="s">
        <v>52</v>
      </c>
      <c r="C12" s="11" t="s">
        <v>53</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A1:U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M4" activePane="bottomRight" state="frozen"/>
      <selection pane="topLeft" activeCell="A1" activeCellId="0" sqref="A1"/>
      <selection pane="topRight" activeCell="M1" activeCellId="0" sqref="M1"/>
      <selection pane="bottomLeft" activeCell="A4" activeCellId="0" sqref="A4"/>
      <selection pane="bottomRight" activeCell="V21" activeCellId="0" sqref="V2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1" min="2" style="0" width="14"/>
  </cols>
  <sheetData>
    <row r="1" customFormat="false" ht="21" hidden="false" customHeight="true" outlineLevel="0" collapsed="false">
      <c r="A1" s="12" t="s">
        <v>8</v>
      </c>
      <c r="B1" s="12"/>
      <c r="C1" s="12"/>
      <c r="D1" s="12"/>
      <c r="E1" s="12"/>
      <c r="F1" s="12"/>
      <c r="G1" s="12"/>
      <c r="H1" s="12"/>
      <c r="I1" s="12"/>
      <c r="J1" s="12"/>
      <c r="K1" s="12"/>
      <c r="L1" s="12"/>
      <c r="M1" s="12"/>
      <c r="N1" s="12"/>
      <c r="O1" s="12"/>
      <c r="P1" s="12"/>
      <c r="Q1" s="12"/>
      <c r="R1" s="12"/>
      <c r="S1" s="12"/>
      <c r="T1" s="12"/>
      <c r="U1" s="12"/>
    </row>
    <row r="2" customFormat="false" ht="14.25" hidden="false" customHeight="false" outlineLevel="0" collapsed="false">
      <c r="A2" s="13" t="s">
        <v>54</v>
      </c>
      <c r="B2" s="13"/>
      <c r="C2" s="13"/>
      <c r="D2" s="13"/>
      <c r="E2" s="13"/>
      <c r="F2" s="13"/>
      <c r="G2" s="13"/>
      <c r="H2" s="13"/>
      <c r="I2" s="13"/>
      <c r="J2" s="13"/>
      <c r="K2" s="13"/>
      <c r="L2" s="13"/>
      <c r="M2" s="13"/>
      <c r="N2" s="13"/>
      <c r="O2" s="13"/>
      <c r="P2" s="13"/>
      <c r="Q2" s="13"/>
      <c r="R2" s="13"/>
      <c r="S2" s="13"/>
      <c r="T2" s="13"/>
      <c r="U2" s="13"/>
    </row>
    <row r="4" customFormat="false" ht="15" hidden="false" customHeight="true" outlineLevel="0" collapsed="false">
      <c r="A4" s="14" t="s">
        <v>55</v>
      </c>
      <c r="B4" s="15" t="s">
        <v>56</v>
      </c>
      <c r="C4" s="15"/>
      <c r="D4" s="15"/>
      <c r="E4" s="15"/>
      <c r="F4" s="15"/>
      <c r="G4" s="15"/>
      <c r="H4" s="15"/>
      <c r="I4" s="15"/>
      <c r="J4" s="15"/>
      <c r="K4" s="15"/>
      <c r="L4" s="15"/>
      <c r="M4" s="15"/>
      <c r="N4" s="15"/>
      <c r="O4" s="15"/>
      <c r="P4" s="15"/>
      <c r="Q4" s="15"/>
      <c r="R4" s="15"/>
      <c r="S4" s="15"/>
      <c r="T4" s="15"/>
      <c r="U4" s="15"/>
    </row>
    <row r="5" customFormat="false" ht="15" hidden="false" customHeight="true" outlineLevel="0" collapsed="false">
      <c r="A5" s="14" t="s">
        <v>57</v>
      </c>
      <c r="B5" s="16" t="s">
        <v>58</v>
      </c>
      <c r="C5" s="16"/>
      <c r="D5" s="16"/>
      <c r="E5" s="16"/>
      <c r="F5" s="16"/>
      <c r="G5" s="16"/>
      <c r="H5" s="16"/>
      <c r="I5" s="16"/>
      <c r="J5" s="16"/>
      <c r="K5" s="16"/>
      <c r="L5" s="16"/>
      <c r="M5" s="16"/>
      <c r="N5" s="16"/>
      <c r="O5" s="16"/>
      <c r="P5" s="16"/>
      <c r="Q5" s="16"/>
      <c r="R5" s="16"/>
      <c r="S5" s="16"/>
      <c r="T5" s="16"/>
      <c r="U5" s="16"/>
    </row>
    <row r="6" customFormat="false" ht="13.5" hidden="false" customHeight="true" outlineLevel="0" collapsed="false">
      <c r="A6" s="14" t="s">
        <v>59</v>
      </c>
      <c r="B6" s="17" t="s">
        <v>60</v>
      </c>
      <c r="C6" s="17" t="s">
        <v>61</v>
      </c>
      <c r="D6" s="17" t="s">
        <v>62</v>
      </c>
      <c r="E6" s="17"/>
      <c r="F6" s="17"/>
      <c r="G6" s="17"/>
      <c r="H6" s="17"/>
      <c r="I6" s="17"/>
      <c r="J6" s="17"/>
      <c r="K6" s="17"/>
      <c r="L6" s="17"/>
      <c r="M6" s="17"/>
      <c r="N6" s="17"/>
      <c r="O6" s="17"/>
      <c r="P6" s="17"/>
      <c r="Q6" s="17"/>
      <c r="R6" s="17"/>
      <c r="S6" s="17"/>
      <c r="T6" s="17"/>
      <c r="U6" s="17"/>
    </row>
    <row r="7" customFormat="false" ht="15" hidden="false" customHeight="true" outlineLevel="0" collapsed="false">
      <c r="A7" s="14"/>
      <c r="B7" s="18" t="s">
        <v>63</v>
      </c>
      <c r="C7" s="18" t="s">
        <v>64</v>
      </c>
      <c r="D7" s="16" t="s">
        <v>65</v>
      </c>
      <c r="E7" s="16"/>
      <c r="F7" s="16"/>
      <c r="G7" s="16"/>
      <c r="H7" s="16"/>
      <c r="I7" s="16"/>
      <c r="J7" s="16"/>
      <c r="K7" s="16"/>
      <c r="L7" s="16"/>
      <c r="M7" s="16"/>
      <c r="N7" s="16"/>
      <c r="O7" s="16"/>
      <c r="P7" s="16"/>
      <c r="Q7" s="16"/>
      <c r="R7" s="16"/>
      <c r="S7" s="16"/>
      <c r="T7" s="16"/>
      <c r="U7" s="16"/>
    </row>
    <row r="8" customFormat="false" ht="15" hidden="false" customHeight="true" outlineLevel="0" collapsed="false">
      <c r="A8" s="19" t="s">
        <v>66</v>
      </c>
      <c r="B8" s="15" t="s">
        <v>67</v>
      </c>
      <c r="C8" s="15"/>
      <c r="D8" s="15"/>
      <c r="E8" s="15"/>
      <c r="F8" s="15"/>
      <c r="G8" s="15"/>
      <c r="H8" s="15"/>
      <c r="I8" s="15"/>
      <c r="J8" s="15"/>
      <c r="K8" s="15"/>
      <c r="L8" s="15"/>
      <c r="M8" s="15"/>
      <c r="N8" s="15"/>
      <c r="O8" s="15"/>
      <c r="P8" s="15"/>
      <c r="Q8" s="15"/>
      <c r="R8" s="15"/>
      <c r="S8" s="15"/>
      <c r="T8" s="15"/>
      <c r="U8" s="15"/>
    </row>
    <row r="9" customFormat="false" ht="15" hidden="false" customHeight="true" outlineLevel="0" collapsed="false">
      <c r="A9" s="19" t="s">
        <v>68</v>
      </c>
      <c r="B9" s="16" t="s">
        <v>69</v>
      </c>
      <c r="C9" s="16"/>
      <c r="D9" s="16"/>
      <c r="E9" s="16"/>
      <c r="F9" s="16"/>
      <c r="G9" s="16"/>
      <c r="H9" s="16"/>
      <c r="I9" s="16"/>
      <c r="J9" s="16"/>
      <c r="K9" s="16"/>
      <c r="L9" s="16"/>
      <c r="M9" s="16"/>
      <c r="N9" s="16"/>
      <c r="O9" s="16"/>
      <c r="P9" s="16"/>
      <c r="Q9" s="16"/>
      <c r="R9" s="16"/>
      <c r="S9" s="16"/>
      <c r="T9" s="16"/>
      <c r="U9" s="16"/>
    </row>
    <row r="10" customFormat="false" ht="13.5" hidden="false" customHeight="true" outlineLevel="0" collapsed="false">
      <c r="A10" s="19" t="s">
        <v>70</v>
      </c>
      <c r="B10" s="17" t="s">
        <v>71</v>
      </c>
      <c r="C10" s="17" t="s">
        <v>72</v>
      </c>
      <c r="D10" s="20"/>
      <c r="E10" s="20"/>
      <c r="F10" s="20"/>
      <c r="G10" s="20"/>
      <c r="H10" s="20"/>
      <c r="I10" s="20"/>
      <c r="J10" s="20"/>
      <c r="K10" s="20"/>
      <c r="L10" s="20"/>
      <c r="M10" s="20"/>
      <c r="N10" s="20"/>
      <c r="O10" s="20"/>
      <c r="P10" s="20"/>
      <c r="Q10" s="20"/>
      <c r="R10" s="20"/>
      <c r="S10" s="20"/>
      <c r="T10" s="20"/>
      <c r="U10" s="20"/>
    </row>
    <row r="11" customFormat="false" ht="14.25" hidden="false" customHeight="false" outlineLevel="0" collapsed="false">
      <c r="A11" s="19"/>
      <c r="B11" s="21" t="n">
        <v>50000</v>
      </c>
      <c r="C11" s="21" t="n">
        <v>6</v>
      </c>
      <c r="D11" s="22"/>
      <c r="E11" s="22"/>
      <c r="F11" s="22"/>
      <c r="G11" s="22"/>
      <c r="H11" s="22"/>
      <c r="I11" s="22"/>
      <c r="J11" s="22"/>
      <c r="K11" s="22"/>
      <c r="L11" s="22"/>
      <c r="M11" s="22"/>
      <c r="N11" s="22"/>
      <c r="O11" s="22"/>
      <c r="P11" s="22"/>
      <c r="Q11" s="22"/>
      <c r="R11" s="22"/>
      <c r="S11" s="22"/>
      <c r="T11" s="22"/>
      <c r="U11" s="22"/>
    </row>
    <row r="12" customFormat="false" ht="6" hidden="false" customHeight="true" outlineLevel="0" collapsed="false"/>
    <row r="13" customFormat="false" ht="26.25" hidden="false" customHeight="true" outlineLevel="0" collapsed="false">
      <c r="A13" s="23" t="s">
        <v>73</v>
      </c>
      <c r="B13" s="24" t="s">
        <v>74</v>
      </c>
      <c r="C13" s="24" t="s">
        <v>75</v>
      </c>
      <c r="D13" s="24" t="s">
        <v>76</v>
      </c>
      <c r="E13" s="24" t="s">
        <v>77</v>
      </c>
      <c r="F13" s="24" t="s">
        <v>78</v>
      </c>
      <c r="G13" s="24" t="s">
        <v>79</v>
      </c>
      <c r="H13" s="24"/>
      <c r="I13" s="24"/>
      <c r="J13" s="24"/>
      <c r="K13" s="24"/>
      <c r="L13" s="24"/>
      <c r="M13" s="24"/>
      <c r="N13" s="24"/>
      <c r="O13" s="24"/>
      <c r="P13" s="24"/>
      <c r="Q13" s="24"/>
      <c r="R13" s="24"/>
      <c r="S13" s="24"/>
      <c r="T13" s="24"/>
      <c r="U13" s="24"/>
    </row>
    <row r="14" customFormat="false" ht="39" hidden="false" customHeight="true" outlineLevel="0" collapsed="false">
      <c r="A14" s="23" t="s">
        <v>80</v>
      </c>
      <c r="B14" s="25" t="s">
        <v>81</v>
      </c>
      <c r="C14" s="25" t="s">
        <v>82</v>
      </c>
      <c r="D14" s="25" t="s">
        <v>83</v>
      </c>
      <c r="E14" s="25" t="s">
        <v>84</v>
      </c>
      <c r="F14" s="25" t="s">
        <v>85</v>
      </c>
      <c r="G14" s="25" t="s">
        <v>86</v>
      </c>
      <c r="H14" s="25"/>
      <c r="I14" s="25"/>
      <c r="J14" s="25"/>
      <c r="K14" s="25"/>
      <c r="L14" s="25"/>
      <c r="M14" s="25"/>
      <c r="N14" s="25"/>
      <c r="O14" s="25"/>
      <c r="P14" s="25"/>
      <c r="Q14" s="25"/>
      <c r="R14" s="25"/>
      <c r="S14" s="25"/>
      <c r="T14" s="25"/>
      <c r="U14" s="25"/>
    </row>
    <row r="15" customFormat="false" ht="14.25" hidden="false" customHeight="false" outlineLevel="0" collapsed="false">
      <c r="A15" s="23" t="s">
        <v>87</v>
      </c>
      <c r="B15" s="25" t="s">
        <v>88</v>
      </c>
      <c r="C15" s="25" t="s">
        <v>89</v>
      </c>
      <c r="D15" s="25" t="s">
        <v>90</v>
      </c>
      <c r="E15" s="25" t="s">
        <v>91</v>
      </c>
      <c r="F15" s="25" t="s">
        <v>90</v>
      </c>
      <c r="G15" s="25" t="s">
        <v>88</v>
      </c>
      <c r="H15" s="25"/>
      <c r="I15" s="25"/>
      <c r="J15" s="25"/>
      <c r="K15" s="25"/>
      <c r="L15" s="25"/>
      <c r="M15" s="25"/>
      <c r="N15" s="25"/>
      <c r="O15" s="25"/>
      <c r="P15" s="25"/>
      <c r="Q15" s="25"/>
      <c r="R15" s="25"/>
      <c r="S15" s="25"/>
      <c r="T15" s="25"/>
      <c r="U15" s="25"/>
    </row>
    <row r="16" customFormat="false" ht="14.25" hidden="false" customHeight="false" outlineLevel="0" collapsed="false">
      <c r="A16" s="23" t="s">
        <v>92</v>
      </c>
      <c r="B16" s="25" t="s">
        <v>93</v>
      </c>
      <c r="C16" s="25" t="s">
        <v>94</v>
      </c>
      <c r="D16" s="25" t="s">
        <v>94</v>
      </c>
      <c r="E16" s="25" t="s">
        <v>94</v>
      </c>
      <c r="F16" s="25" t="s">
        <v>94</v>
      </c>
      <c r="G16" s="25" t="s">
        <v>95</v>
      </c>
      <c r="H16" s="25"/>
      <c r="I16" s="25"/>
      <c r="J16" s="25"/>
      <c r="K16" s="25"/>
      <c r="L16" s="25"/>
      <c r="M16" s="25"/>
      <c r="N16" s="25"/>
      <c r="O16" s="25"/>
      <c r="P16" s="25"/>
      <c r="Q16" s="25"/>
      <c r="R16" s="25"/>
      <c r="S16" s="25"/>
      <c r="T16" s="25"/>
      <c r="U16" s="25"/>
    </row>
    <row r="17" customFormat="false" ht="26.25" hidden="false" customHeight="true" outlineLevel="0" collapsed="false">
      <c r="A17" s="26" t="s">
        <v>96</v>
      </c>
      <c r="B17" s="25" t="s">
        <v>97</v>
      </c>
      <c r="C17" s="25" t="s">
        <v>98</v>
      </c>
      <c r="D17" s="25" t="s">
        <v>99</v>
      </c>
      <c r="E17" s="25" t="s">
        <v>100</v>
      </c>
      <c r="F17" s="25" t="s">
        <v>101</v>
      </c>
      <c r="G17" s="25" t="s">
        <v>102</v>
      </c>
      <c r="H17" s="25"/>
      <c r="I17" s="25"/>
      <c r="J17" s="25"/>
      <c r="K17" s="25"/>
      <c r="L17" s="25"/>
      <c r="M17" s="25"/>
      <c r="N17" s="25"/>
      <c r="O17" s="25"/>
      <c r="P17" s="25"/>
      <c r="Q17" s="25"/>
      <c r="R17" s="25"/>
      <c r="S17" s="25"/>
      <c r="T17" s="25"/>
      <c r="U17" s="25"/>
    </row>
    <row r="18" customFormat="false" ht="14.25" hidden="false" customHeight="false" outlineLevel="0" collapsed="false">
      <c r="A18" s="26" t="s">
        <v>103</v>
      </c>
      <c r="B18" s="27" t="n">
        <v>50000</v>
      </c>
      <c r="C18" s="27" t="n">
        <v>365</v>
      </c>
      <c r="D18" s="27" t="n">
        <v>8</v>
      </c>
      <c r="E18" s="27" t="s">
        <v>104</v>
      </c>
      <c r="F18" s="27" t="n">
        <v>3</v>
      </c>
      <c r="G18" s="27" t="n">
        <v>12400</v>
      </c>
      <c r="H18" s="27"/>
      <c r="I18" s="27"/>
      <c r="J18" s="27"/>
      <c r="K18" s="27"/>
      <c r="L18" s="27"/>
      <c r="M18" s="27"/>
      <c r="N18" s="27"/>
      <c r="O18" s="27"/>
      <c r="P18" s="27"/>
      <c r="Q18" s="27"/>
      <c r="R18" s="27"/>
      <c r="S18" s="27"/>
      <c r="T18" s="27"/>
      <c r="U18" s="27"/>
    </row>
    <row r="19" customFormat="false" ht="78.75" hidden="false" customHeight="true" outlineLevel="0" collapsed="false">
      <c r="A19" s="26" t="s">
        <v>105</v>
      </c>
      <c r="B19" s="25" t="s">
        <v>104</v>
      </c>
      <c r="C19" s="25" t="s">
        <v>104</v>
      </c>
      <c r="D19" s="25" t="s">
        <v>106</v>
      </c>
      <c r="E19" s="25" t="s">
        <v>104</v>
      </c>
      <c r="F19" s="25" t="s">
        <v>107</v>
      </c>
      <c r="G19" s="25" t="s">
        <v>104</v>
      </c>
      <c r="H19" s="25"/>
      <c r="I19" s="25"/>
      <c r="J19" s="25"/>
      <c r="K19" s="25"/>
      <c r="L19" s="25"/>
      <c r="M19" s="25"/>
      <c r="N19" s="25"/>
      <c r="O19" s="25"/>
      <c r="P19" s="25"/>
      <c r="Q19" s="25"/>
      <c r="R19" s="25"/>
      <c r="S19" s="25"/>
      <c r="T19" s="25"/>
      <c r="U19" s="25"/>
    </row>
    <row r="20" customFormat="false" ht="14.25" hidden="false" customHeight="false" outlineLevel="0" collapsed="false">
      <c r="A20" s="26" t="s">
        <v>108</v>
      </c>
      <c r="B20" s="25" t="s">
        <v>109</v>
      </c>
      <c r="C20" s="25" t="s">
        <v>109</v>
      </c>
      <c r="D20" s="25" t="s">
        <v>109</v>
      </c>
      <c r="E20" s="25" t="s">
        <v>110</v>
      </c>
      <c r="F20" s="25" t="s">
        <v>109</v>
      </c>
      <c r="G20" s="25" t="s">
        <v>111</v>
      </c>
      <c r="H20" s="25"/>
      <c r="I20" s="25"/>
      <c r="J20" s="25"/>
      <c r="K20" s="25"/>
      <c r="L20" s="25"/>
      <c r="M20" s="25"/>
      <c r="N20" s="25"/>
      <c r="O20" s="25"/>
      <c r="P20" s="25"/>
      <c r="Q20" s="25"/>
      <c r="R20" s="25"/>
      <c r="S20" s="25"/>
      <c r="T20" s="25"/>
      <c r="U20" s="25"/>
    </row>
    <row r="21" customFormat="false" ht="118.5" hidden="false" customHeight="true" outlineLevel="0" collapsed="false">
      <c r="A21" s="26" t="s">
        <v>112</v>
      </c>
      <c r="B21" s="25" t="s">
        <v>113</v>
      </c>
      <c r="C21" s="25" t="s">
        <v>113</v>
      </c>
      <c r="D21" s="25" t="s">
        <v>113</v>
      </c>
      <c r="E21" s="25" t="s">
        <v>114</v>
      </c>
      <c r="F21" s="25" t="s">
        <v>113</v>
      </c>
      <c r="G21" s="25" t="s">
        <v>115</v>
      </c>
      <c r="H21" s="25"/>
      <c r="I21" s="25"/>
      <c r="J21" s="25"/>
      <c r="K21" s="25"/>
      <c r="L21" s="25"/>
      <c r="M21" s="25"/>
      <c r="N21" s="25"/>
      <c r="O21" s="25"/>
      <c r="P21" s="25"/>
      <c r="Q21" s="25"/>
      <c r="R21" s="25"/>
      <c r="S21" s="25"/>
      <c r="T21" s="25"/>
      <c r="U21" s="25"/>
    </row>
    <row r="22" customFormat="false" ht="9.75" hidden="false" customHeight="true" outlineLevel="0" collapsed="false"/>
    <row r="23" customFormat="false" ht="9.75" hidden="false" customHeight="true" outlineLevel="0" collapsed="false"/>
    <row r="25" customFormat="false" ht="15" hidden="false" customHeight="true" outlineLevel="0" collapsed="false"/>
    <row r="26" customFormat="false" ht="14.25" hidden="false" customHeight="true" outlineLevel="0" collapsed="false">
      <c r="A26" s="14" t="s">
        <v>55</v>
      </c>
      <c r="B26" s="15" t="s">
        <v>56</v>
      </c>
      <c r="C26" s="15"/>
      <c r="D26" s="15"/>
      <c r="E26" s="15"/>
      <c r="F26" s="15"/>
      <c r="G26" s="15"/>
      <c r="H26" s="15"/>
      <c r="I26" s="15"/>
      <c r="J26" s="15"/>
      <c r="K26" s="15"/>
      <c r="L26" s="15"/>
      <c r="M26" s="15"/>
      <c r="N26" s="15"/>
      <c r="O26" s="15"/>
      <c r="P26" s="15"/>
      <c r="Q26" s="15"/>
      <c r="R26" s="15"/>
      <c r="S26" s="15"/>
      <c r="T26" s="15"/>
      <c r="U26" s="15"/>
    </row>
    <row r="27" customFormat="false" ht="14.25" hidden="false" customHeight="true" outlineLevel="0" collapsed="false">
      <c r="A27" s="14" t="s">
        <v>57</v>
      </c>
      <c r="B27" s="16" t="s">
        <v>58</v>
      </c>
      <c r="C27" s="16"/>
      <c r="D27" s="16"/>
      <c r="E27" s="16"/>
      <c r="F27" s="16"/>
      <c r="G27" s="16"/>
      <c r="H27" s="16"/>
      <c r="I27" s="16"/>
      <c r="J27" s="16"/>
      <c r="K27" s="16"/>
      <c r="L27" s="16"/>
      <c r="M27" s="16"/>
      <c r="N27" s="16"/>
      <c r="O27" s="16"/>
      <c r="P27" s="16"/>
      <c r="Q27" s="16"/>
      <c r="R27" s="16"/>
      <c r="S27" s="16"/>
      <c r="T27" s="16"/>
      <c r="U27" s="16"/>
    </row>
    <row r="28" customFormat="false" ht="14.25" hidden="false" customHeight="false" outlineLevel="0" collapsed="false">
      <c r="A28" s="14" t="s">
        <v>59</v>
      </c>
      <c r="B28" s="17" t="s">
        <v>60</v>
      </c>
      <c r="C28" s="17" t="s">
        <v>61</v>
      </c>
      <c r="D28" s="17" t="s">
        <v>62</v>
      </c>
      <c r="E28" s="17"/>
      <c r="F28" s="17"/>
      <c r="G28" s="17"/>
      <c r="H28" s="17"/>
      <c r="I28" s="17"/>
      <c r="J28" s="17"/>
      <c r="K28" s="17"/>
      <c r="L28" s="17"/>
      <c r="M28" s="17"/>
      <c r="N28" s="17"/>
      <c r="O28" s="17"/>
      <c r="P28" s="17"/>
      <c r="Q28" s="17"/>
      <c r="R28" s="17"/>
      <c r="S28" s="17"/>
      <c r="T28" s="17"/>
      <c r="U28" s="17"/>
    </row>
    <row r="29" customFormat="false" ht="15" hidden="false" customHeight="true" outlineLevel="0" collapsed="false">
      <c r="A29" s="14"/>
      <c r="B29" s="18" t="s">
        <v>63</v>
      </c>
      <c r="C29" s="18" t="s">
        <v>64</v>
      </c>
      <c r="D29" s="16" t="s">
        <v>65</v>
      </c>
      <c r="E29" s="16"/>
      <c r="F29" s="16"/>
      <c r="G29" s="16"/>
      <c r="H29" s="16"/>
      <c r="I29" s="16"/>
      <c r="J29" s="16"/>
      <c r="K29" s="16"/>
      <c r="L29" s="16"/>
      <c r="M29" s="16"/>
      <c r="N29" s="16"/>
      <c r="O29" s="16"/>
      <c r="P29" s="16"/>
      <c r="Q29" s="16"/>
      <c r="R29" s="16"/>
      <c r="S29" s="16"/>
      <c r="T29" s="16"/>
      <c r="U29" s="16"/>
    </row>
    <row r="30" customFormat="false" ht="14.25" hidden="false" customHeight="true" outlineLevel="0" collapsed="false">
      <c r="A30" s="19" t="s">
        <v>66</v>
      </c>
      <c r="B30" s="15" t="s">
        <v>67</v>
      </c>
      <c r="C30" s="15"/>
      <c r="D30" s="15"/>
      <c r="E30" s="15"/>
      <c r="F30" s="15"/>
      <c r="G30" s="15"/>
      <c r="H30" s="15"/>
      <c r="I30" s="15"/>
      <c r="J30" s="15"/>
      <c r="K30" s="15"/>
      <c r="L30" s="15"/>
      <c r="M30" s="15"/>
      <c r="N30" s="15"/>
      <c r="O30" s="15"/>
      <c r="P30" s="15"/>
      <c r="Q30" s="15"/>
      <c r="R30" s="15"/>
      <c r="S30" s="15"/>
      <c r="T30" s="15"/>
      <c r="U30" s="15"/>
    </row>
    <row r="31" customFormat="false" ht="14.25" hidden="false" customHeight="true" outlineLevel="0" collapsed="false">
      <c r="A31" s="19" t="s">
        <v>68</v>
      </c>
      <c r="B31" s="16" t="s">
        <v>69</v>
      </c>
      <c r="C31" s="16"/>
      <c r="D31" s="16"/>
      <c r="E31" s="16"/>
      <c r="F31" s="16"/>
      <c r="G31" s="16"/>
      <c r="H31" s="16"/>
      <c r="I31" s="16"/>
      <c r="J31" s="16"/>
      <c r="K31" s="16"/>
      <c r="L31" s="16"/>
      <c r="M31" s="16"/>
      <c r="N31" s="16"/>
      <c r="O31" s="16"/>
      <c r="P31" s="16"/>
      <c r="Q31" s="16"/>
      <c r="R31" s="16"/>
      <c r="S31" s="16"/>
      <c r="T31" s="16"/>
      <c r="U31" s="16"/>
    </row>
    <row r="32" customFormat="false" ht="14.25" hidden="false" customHeight="false" outlineLevel="0" collapsed="false">
      <c r="A32" s="19" t="s">
        <v>70</v>
      </c>
      <c r="B32" s="17" t="s">
        <v>71</v>
      </c>
      <c r="C32" s="17" t="s">
        <v>72</v>
      </c>
      <c r="D32" s="20"/>
      <c r="E32" s="20"/>
      <c r="F32" s="20"/>
      <c r="G32" s="20"/>
      <c r="H32" s="20"/>
      <c r="I32" s="20"/>
      <c r="J32" s="20"/>
      <c r="K32" s="20"/>
      <c r="L32" s="20"/>
      <c r="M32" s="20"/>
      <c r="N32" s="20"/>
      <c r="O32" s="20"/>
      <c r="P32" s="20"/>
      <c r="Q32" s="20"/>
      <c r="R32" s="20"/>
      <c r="S32" s="20"/>
      <c r="T32" s="20"/>
      <c r="U32" s="20"/>
    </row>
    <row r="33" customFormat="false" ht="14.25" hidden="false" customHeight="false" outlineLevel="0" collapsed="false">
      <c r="A33" s="19"/>
      <c r="B33" s="21" t="n">
        <v>50000</v>
      </c>
      <c r="C33" s="21" t="n">
        <v>6</v>
      </c>
      <c r="D33" s="22"/>
      <c r="E33" s="22"/>
      <c r="F33" s="22"/>
      <c r="G33" s="22"/>
      <c r="H33" s="22"/>
      <c r="I33" s="22"/>
      <c r="J33" s="22"/>
      <c r="K33" s="22"/>
      <c r="L33" s="22"/>
      <c r="M33" s="22"/>
      <c r="N33" s="22"/>
      <c r="O33" s="22"/>
      <c r="P33" s="22"/>
      <c r="Q33" s="22"/>
      <c r="R33" s="22"/>
      <c r="S33" s="22"/>
      <c r="T33" s="22"/>
      <c r="U33" s="22"/>
    </row>
    <row r="35" customFormat="false" ht="26.25" hidden="false" customHeight="true" outlineLevel="0" collapsed="false">
      <c r="A35" s="23" t="s">
        <v>73</v>
      </c>
      <c r="B35" s="24" t="s">
        <v>74</v>
      </c>
      <c r="C35" s="24" t="s">
        <v>75</v>
      </c>
      <c r="D35" s="24" t="s">
        <v>76</v>
      </c>
      <c r="E35" s="24" t="s">
        <v>77</v>
      </c>
      <c r="F35" s="24" t="s">
        <v>78</v>
      </c>
      <c r="G35" s="24" t="s">
        <v>79</v>
      </c>
      <c r="H35" s="24"/>
      <c r="I35" s="24"/>
      <c r="J35" s="24"/>
      <c r="K35" s="24"/>
      <c r="L35" s="24"/>
      <c r="M35" s="24"/>
      <c r="N35" s="24"/>
      <c r="O35" s="24"/>
      <c r="P35" s="24"/>
      <c r="Q35" s="24"/>
      <c r="R35" s="24"/>
      <c r="S35" s="24"/>
      <c r="T35" s="24"/>
      <c r="U35" s="24"/>
    </row>
    <row r="36" customFormat="false" ht="39" hidden="false" customHeight="true" outlineLevel="0" collapsed="false">
      <c r="A36" s="23" t="s">
        <v>80</v>
      </c>
      <c r="B36" s="25" t="s">
        <v>81</v>
      </c>
      <c r="C36" s="25" t="s">
        <v>82</v>
      </c>
      <c r="D36" s="25" t="s">
        <v>83</v>
      </c>
      <c r="E36" s="25" t="s">
        <v>84</v>
      </c>
      <c r="F36" s="25" t="s">
        <v>85</v>
      </c>
      <c r="G36" s="25" t="s">
        <v>86</v>
      </c>
      <c r="H36" s="25"/>
      <c r="I36" s="25"/>
      <c r="J36" s="25"/>
      <c r="K36" s="25"/>
      <c r="L36" s="25"/>
      <c r="M36" s="25"/>
      <c r="N36" s="25"/>
      <c r="O36" s="25"/>
      <c r="P36" s="25"/>
      <c r="Q36" s="25"/>
      <c r="R36" s="25"/>
      <c r="S36" s="25"/>
      <c r="T36" s="25"/>
      <c r="U36" s="25"/>
    </row>
    <row r="37" customFormat="false" ht="14.25" hidden="false" customHeight="false" outlineLevel="0" collapsed="false">
      <c r="A37" s="23" t="s">
        <v>87</v>
      </c>
      <c r="B37" s="25" t="s">
        <v>88</v>
      </c>
      <c r="C37" s="25" t="s">
        <v>89</v>
      </c>
      <c r="D37" s="25" t="s">
        <v>90</v>
      </c>
      <c r="E37" s="25" t="s">
        <v>91</v>
      </c>
      <c r="F37" s="25" t="s">
        <v>90</v>
      </c>
      <c r="G37" s="25" t="s">
        <v>88</v>
      </c>
      <c r="H37" s="25"/>
      <c r="I37" s="25"/>
      <c r="J37" s="25"/>
      <c r="K37" s="25"/>
      <c r="L37" s="25"/>
      <c r="M37" s="25"/>
      <c r="N37" s="25"/>
      <c r="O37" s="25"/>
      <c r="P37" s="25"/>
      <c r="Q37" s="25"/>
      <c r="R37" s="25"/>
      <c r="S37" s="25"/>
      <c r="T37" s="25"/>
      <c r="U37" s="25"/>
    </row>
    <row r="38" customFormat="false" ht="14.25" hidden="false" customHeight="false" outlineLevel="0" collapsed="false">
      <c r="A38" s="23" t="s">
        <v>92</v>
      </c>
      <c r="B38" s="25" t="s">
        <v>93</v>
      </c>
      <c r="C38" s="25" t="s">
        <v>94</v>
      </c>
      <c r="D38" s="25" t="s">
        <v>94</v>
      </c>
      <c r="E38" s="25" t="s">
        <v>94</v>
      </c>
      <c r="F38" s="25" t="s">
        <v>94</v>
      </c>
      <c r="G38" s="25" t="s">
        <v>95</v>
      </c>
      <c r="H38" s="25"/>
      <c r="I38" s="25"/>
      <c r="J38" s="25"/>
      <c r="K38" s="25"/>
      <c r="L38" s="25"/>
      <c r="M38" s="25"/>
      <c r="N38" s="25"/>
      <c r="O38" s="25"/>
      <c r="P38" s="25"/>
      <c r="Q38" s="25"/>
      <c r="R38" s="25"/>
      <c r="S38" s="25"/>
      <c r="T38" s="25"/>
      <c r="U38" s="25"/>
    </row>
    <row r="39" customFormat="false" ht="26.25" hidden="false" customHeight="true" outlineLevel="0" collapsed="false">
      <c r="A39" s="26" t="s">
        <v>96</v>
      </c>
      <c r="B39" s="25" t="s">
        <v>97</v>
      </c>
      <c r="C39" s="25" t="s">
        <v>98</v>
      </c>
      <c r="D39" s="25" t="s">
        <v>99</v>
      </c>
      <c r="E39" s="25" t="s">
        <v>100</v>
      </c>
      <c r="F39" s="25" t="s">
        <v>101</v>
      </c>
      <c r="G39" s="25" t="s">
        <v>102</v>
      </c>
      <c r="H39" s="25"/>
      <c r="I39" s="25"/>
      <c r="J39" s="25"/>
      <c r="K39" s="25"/>
      <c r="L39" s="25"/>
      <c r="M39" s="25"/>
      <c r="N39" s="25"/>
      <c r="O39" s="25"/>
      <c r="P39" s="25"/>
      <c r="Q39" s="25"/>
      <c r="R39" s="25"/>
      <c r="S39" s="25"/>
      <c r="T39" s="25"/>
      <c r="U39" s="25"/>
    </row>
    <row r="40" customFormat="false" ht="14.25" hidden="false" customHeight="false" outlineLevel="0" collapsed="false">
      <c r="A40" s="26" t="s">
        <v>103</v>
      </c>
      <c r="B40" s="27" t="n">
        <v>50000</v>
      </c>
      <c r="C40" s="27" t="n">
        <v>365</v>
      </c>
      <c r="D40" s="27" t="n">
        <v>8</v>
      </c>
      <c r="E40" s="27" t="s">
        <v>104</v>
      </c>
      <c r="F40" s="27" t="n">
        <v>3</v>
      </c>
      <c r="G40" s="27" t="n">
        <v>12400</v>
      </c>
      <c r="H40" s="27"/>
      <c r="I40" s="27"/>
      <c r="J40" s="27"/>
      <c r="K40" s="27"/>
      <c r="L40" s="27"/>
      <c r="M40" s="27"/>
      <c r="N40" s="27"/>
      <c r="O40" s="27"/>
      <c r="P40" s="27"/>
      <c r="Q40" s="27"/>
      <c r="R40" s="27"/>
      <c r="S40" s="27"/>
      <c r="T40" s="27"/>
      <c r="U40" s="27"/>
    </row>
    <row r="41" customFormat="false" ht="78.75" hidden="false" customHeight="true" outlineLevel="0" collapsed="false">
      <c r="A41" s="26" t="s">
        <v>105</v>
      </c>
      <c r="B41" s="25" t="s">
        <v>104</v>
      </c>
      <c r="C41" s="25" t="s">
        <v>104</v>
      </c>
      <c r="D41" s="25" t="s">
        <v>106</v>
      </c>
      <c r="E41" s="25" t="s">
        <v>104</v>
      </c>
      <c r="F41" s="25" t="s">
        <v>107</v>
      </c>
      <c r="G41" s="25" t="s">
        <v>104</v>
      </c>
      <c r="H41" s="25"/>
      <c r="I41" s="25"/>
      <c r="J41" s="25"/>
      <c r="K41" s="25"/>
      <c r="L41" s="25"/>
      <c r="M41" s="25"/>
      <c r="N41" s="25"/>
      <c r="O41" s="25"/>
      <c r="P41" s="25"/>
      <c r="Q41" s="25"/>
      <c r="R41" s="25"/>
      <c r="S41" s="25"/>
      <c r="T41" s="25"/>
      <c r="U41" s="25"/>
    </row>
    <row r="42" customFormat="false" ht="14.25" hidden="false" customHeight="false" outlineLevel="0" collapsed="false">
      <c r="A42" s="26" t="s">
        <v>108</v>
      </c>
      <c r="B42" s="25" t="s">
        <v>109</v>
      </c>
      <c r="C42" s="25" t="s">
        <v>109</v>
      </c>
      <c r="D42" s="25" t="s">
        <v>109</v>
      </c>
      <c r="E42" s="25" t="s">
        <v>110</v>
      </c>
      <c r="F42" s="25" t="s">
        <v>109</v>
      </c>
      <c r="G42" s="25" t="s">
        <v>111</v>
      </c>
      <c r="H42" s="25"/>
      <c r="I42" s="25"/>
      <c r="J42" s="25"/>
      <c r="K42" s="25"/>
      <c r="L42" s="25"/>
      <c r="M42" s="25"/>
      <c r="N42" s="25"/>
      <c r="O42" s="25"/>
      <c r="P42" s="25"/>
      <c r="Q42" s="25"/>
      <c r="R42" s="25"/>
      <c r="S42" s="25"/>
      <c r="T42" s="25"/>
      <c r="U42" s="25"/>
    </row>
    <row r="43" customFormat="false" ht="118.5" hidden="false" customHeight="true" outlineLevel="0" collapsed="false">
      <c r="A43" s="26" t="s">
        <v>112</v>
      </c>
      <c r="B43" s="25" t="s">
        <v>113</v>
      </c>
      <c r="C43" s="25" t="s">
        <v>113</v>
      </c>
      <c r="D43" s="25" t="s">
        <v>113</v>
      </c>
      <c r="E43" s="25" t="s">
        <v>114</v>
      </c>
      <c r="F43" s="25" t="s">
        <v>113</v>
      </c>
      <c r="G43" s="25" t="s">
        <v>115</v>
      </c>
      <c r="H43" s="25"/>
      <c r="I43" s="25"/>
      <c r="J43" s="25"/>
      <c r="K43" s="25"/>
      <c r="L43" s="25"/>
      <c r="M43" s="25"/>
      <c r="N43" s="25"/>
      <c r="O43" s="25"/>
      <c r="P43" s="25"/>
      <c r="Q43" s="25"/>
      <c r="R43" s="25"/>
      <c r="S43" s="25"/>
      <c r="T43" s="25"/>
      <c r="U43" s="25"/>
    </row>
  </sheetData>
  <mergeCells count="14">
    <mergeCell ref="A1:U1"/>
    <mergeCell ref="A2:U2"/>
    <mergeCell ref="B4:U4"/>
    <mergeCell ref="B5:U5"/>
    <mergeCell ref="D6:U6"/>
    <mergeCell ref="D7:U7"/>
    <mergeCell ref="B8:U8"/>
    <mergeCell ref="B9:U9"/>
    <mergeCell ref="B26:U26"/>
    <mergeCell ref="B27:U27"/>
    <mergeCell ref="D28:U28"/>
    <mergeCell ref="D29:U29"/>
    <mergeCell ref="B30:U30"/>
    <mergeCell ref="B31:U31"/>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5" min="1" style="0" width="16"/>
    <col collapsed="false" customWidth="true" hidden="false" outlineLevel="0" max="6" min="6" style="0" width="40"/>
  </cols>
  <sheetData>
    <row r="1" customFormat="false" ht="21" hidden="false" customHeight="true" outlineLevel="0" collapsed="false">
      <c r="A1" s="12" t="s">
        <v>10</v>
      </c>
      <c r="B1" s="12"/>
      <c r="C1" s="12"/>
      <c r="D1" s="12"/>
      <c r="E1" s="12"/>
      <c r="F1" s="12"/>
    </row>
    <row r="2" customFormat="false" ht="14.25" hidden="false" customHeight="false" outlineLevel="0" collapsed="false">
      <c r="A2" s="13" t="s">
        <v>116</v>
      </c>
      <c r="B2" s="13"/>
      <c r="C2" s="13"/>
      <c r="D2" s="13"/>
      <c r="E2" s="13"/>
      <c r="F2" s="13"/>
    </row>
    <row r="4" customFormat="false" ht="27" hidden="false" customHeight="true" outlineLevel="0" collapsed="false">
      <c r="A4" s="28" t="s">
        <v>117</v>
      </c>
      <c r="B4" s="28" t="s">
        <v>118</v>
      </c>
      <c r="C4" s="28" t="s">
        <v>119</v>
      </c>
      <c r="D4" s="28" t="s">
        <v>120</v>
      </c>
      <c r="E4" s="28" t="s">
        <v>121</v>
      </c>
      <c r="F4" s="28" t="s">
        <v>122</v>
      </c>
    </row>
    <row r="5" customFormat="false" ht="26.25" hidden="false" customHeight="true" outlineLevel="0" collapsed="false">
      <c r="A5" s="25" t="s">
        <v>123</v>
      </c>
      <c r="B5" s="25" t="s">
        <v>79</v>
      </c>
      <c r="C5" s="25" t="s">
        <v>124</v>
      </c>
      <c r="D5" s="25" t="s">
        <v>79</v>
      </c>
      <c r="E5" s="25" t="s">
        <v>125</v>
      </c>
      <c r="F5" s="25" t="s">
        <v>126</v>
      </c>
    </row>
    <row r="6" customFormat="false" ht="14.25" hidden="false" customHeight="false" outlineLevel="0" collapsed="false">
      <c r="A6" s="29"/>
      <c r="B6" s="29"/>
      <c r="C6" s="29"/>
      <c r="D6" s="29"/>
      <c r="E6" s="29"/>
      <c r="F6" s="29"/>
    </row>
    <row r="7" customFormat="false" ht="14.25" hidden="false" customHeight="false" outlineLevel="0" collapsed="false">
      <c r="A7" s="29"/>
      <c r="B7" s="29"/>
      <c r="C7" s="29"/>
      <c r="D7" s="29"/>
      <c r="E7" s="29"/>
      <c r="F7" s="29"/>
    </row>
    <row r="8" customFormat="false" ht="14.25" hidden="false" customHeight="false" outlineLevel="0" collapsed="false">
      <c r="A8" s="29"/>
      <c r="B8" s="29"/>
      <c r="C8" s="29"/>
      <c r="D8" s="29"/>
      <c r="E8" s="29"/>
      <c r="F8" s="29"/>
    </row>
    <row r="9" customFormat="false" ht="14.25" hidden="false" customHeight="false" outlineLevel="0" collapsed="false">
      <c r="A9" s="29"/>
      <c r="B9" s="29"/>
      <c r="C9" s="29"/>
      <c r="D9" s="29"/>
      <c r="E9" s="29"/>
      <c r="F9" s="29"/>
    </row>
    <row r="10" customFormat="false" ht="14.25" hidden="false" customHeight="false" outlineLevel="0" collapsed="false">
      <c r="A10" s="29"/>
      <c r="B10" s="29"/>
      <c r="C10" s="29"/>
      <c r="D10" s="29"/>
      <c r="E10" s="29"/>
      <c r="F10" s="29"/>
    </row>
    <row r="11" customFormat="false" ht="14.25" hidden="false" customHeight="false" outlineLevel="0" collapsed="false">
      <c r="A11" s="29"/>
      <c r="B11" s="29"/>
      <c r="C11" s="29"/>
      <c r="D11" s="29"/>
      <c r="E11" s="29"/>
      <c r="F11" s="29"/>
    </row>
    <row r="12" customFormat="false" ht="14.25" hidden="false" customHeight="false" outlineLevel="0" collapsed="false">
      <c r="A12" s="29"/>
      <c r="B12" s="29"/>
      <c r="C12" s="29"/>
      <c r="D12" s="29"/>
      <c r="E12" s="29"/>
      <c r="F12" s="29"/>
    </row>
    <row r="13" customFormat="false" ht="14.25" hidden="false" customHeight="false" outlineLevel="0" collapsed="false">
      <c r="A13" s="29"/>
      <c r="B13" s="29"/>
      <c r="C13" s="29"/>
      <c r="D13" s="29"/>
      <c r="E13" s="29"/>
      <c r="F13" s="29"/>
    </row>
    <row r="14" customFormat="false" ht="14.25" hidden="false" customHeight="false" outlineLevel="0" collapsed="false">
      <c r="A14" s="29"/>
      <c r="B14" s="29"/>
      <c r="C14" s="29"/>
      <c r="D14" s="29"/>
      <c r="E14" s="29"/>
      <c r="F14" s="29"/>
    </row>
  </sheetData>
  <autoFilter ref="A4:F4"/>
  <mergeCells count="2">
    <mergeCell ref="A1:F1"/>
    <mergeCell ref="A2:F2"/>
  </mergeCells>
  <dataValidations count="1">
    <dataValidation allowBlank="true" errorStyle="stop" operator="between" showDropDown="false" showErrorMessage="false" showInputMessage="false" sqref="E5:E15" type="list">
      <formula1>"One-to-One,One-to-Many,Many-to-Many"</formula1>
      <formula2>0</formula2>
    </dataValidation>
  </dataValidation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40"/>
    <col collapsed="false" customWidth="true" hidden="false" outlineLevel="0" max="4" min="4" style="0" width="12"/>
    <col collapsed="false" customWidth="true" hidden="false" outlineLevel="0" max="5" min="5" style="0" width="34"/>
    <col collapsed="false" customWidth="true" hidden="false" outlineLevel="0" max="6" min="6" style="0" width="18"/>
  </cols>
  <sheetData>
    <row r="1" customFormat="false" ht="21" hidden="false" customHeight="true" outlineLevel="0" collapsed="false">
      <c r="A1" s="12" t="s">
        <v>12</v>
      </c>
      <c r="B1" s="12"/>
      <c r="C1" s="12"/>
      <c r="D1" s="12"/>
      <c r="E1" s="12"/>
      <c r="F1" s="12"/>
    </row>
    <row r="2" customFormat="false" ht="14.25" hidden="false" customHeight="false" outlineLevel="0" collapsed="false">
      <c r="A2" s="13" t="s">
        <v>127</v>
      </c>
      <c r="B2" s="13"/>
      <c r="C2" s="13"/>
      <c r="D2" s="13"/>
      <c r="E2" s="13"/>
      <c r="F2" s="13"/>
    </row>
    <row r="4" customFormat="false" ht="27" hidden="false" customHeight="true" outlineLevel="0" collapsed="false">
      <c r="A4" s="28" t="s">
        <v>128</v>
      </c>
      <c r="B4" s="28" t="s">
        <v>129</v>
      </c>
      <c r="C4" s="28" t="s">
        <v>130</v>
      </c>
      <c r="D4" s="28" t="s">
        <v>131</v>
      </c>
      <c r="E4" s="28" t="s">
        <v>132</v>
      </c>
      <c r="F4" s="28" t="s">
        <v>133</v>
      </c>
    </row>
    <row r="5" customFormat="false" ht="39" hidden="false" customHeight="true" outlineLevel="0" collapsed="false">
      <c r="A5" s="25" t="n">
        <v>1</v>
      </c>
      <c r="B5" s="25" t="s">
        <v>134</v>
      </c>
      <c r="C5" s="25" t="s">
        <v>135</v>
      </c>
      <c r="D5" s="25" t="s">
        <v>136</v>
      </c>
      <c r="E5" s="25" t="s">
        <v>137</v>
      </c>
      <c r="F5" s="25" t="s">
        <v>138</v>
      </c>
    </row>
    <row r="6" customFormat="false" ht="23.85" hidden="false" customHeight="false" outlineLevel="0" collapsed="false">
      <c r="A6" s="29" t="n">
        <f aca="false">ROW()-5</f>
        <v>1</v>
      </c>
      <c r="B6" s="29" t="s">
        <v>139</v>
      </c>
      <c r="C6" s="29" t="s">
        <v>140</v>
      </c>
      <c r="D6" s="29" t="s">
        <v>141</v>
      </c>
      <c r="E6" s="29" t="s">
        <v>142</v>
      </c>
      <c r="F6" s="29" t="s">
        <v>138</v>
      </c>
    </row>
    <row r="7" customFormat="false" ht="23.85" hidden="false" customHeight="false" outlineLevel="0" collapsed="false">
      <c r="A7" s="29" t="n">
        <f aca="false">ROW()-5</f>
        <v>2</v>
      </c>
      <c r="B7" s="29" t="s">
        <v>143</v>
      </c>
      <c r="C7" s="29" t="s">
        <v>144</v>
      </c>
      <c r="D7" s="29" t="s">
        <v>141</v>
      </c>
      <c r="E7" s="29" t="s">
        <v>145</v>
      </c>
      <c r="F7" s="29" t="s">
        <v>138</v>
      </c>
    </row>
    <row r="8" customFormat="false" ht="23.85" hidden="false" customHeight="false" outlineLevel="0" collapsed="false">
      <c r="A8" s="29" t="n">
        <f aca="false">ROW()-5</f>
        <v>3</v>
      </c>
      <c r="B8" s="29" t="s">
        <v>146</v>
      </c>
      <c r="C8" s="29" t="s">
        <v>147</v>
      </c>
      <c r="D8" s="29" t="s">
        <v>148</v>
      </c>
      <c r="E8" s="29" t="s">
        <v>149</v>
      </c>
      <c r="F8" s="29" t="s">
        <v>138</v>
      </c>
    </row>
    <row r="9" customFormat="false" ht="23.85" hidden="false" customHeight="false" outlineLevel="0" collapsed="false">
      <c r="A9" s="29" t="n">
        <f aca="false">ROW()-5</f>
        <v>4</v>
      </c>
      <c r="B9" s="29" t="s">
        <v>146</v>
      </c>
      <c r="C9" s="29" t="s">
        <v>150</v>
      </c>
      <c r="D9" s="29" t="s">
        <v>94</v>
      </c>
      <c r="E9" s="29" t="s">
        <v>151</v>
      </c>
      <c r="F9" s="29" t="s">
        <v>138</v>
      </c>
    </row>
    <row r="10" customFormat="false" ht="14.25" hidden="false" customHeight="false" outlineLevel="0" collapsed="false">
      <c r="A10" s="29" t="n">
        <f aca="false">ROW()-5</f>
        <v>5</v>
      </c>
      <c r="B10" s="29" t="s">
        <v>152</v>
      </c>
      <c r="C10" s="29" t="s">
        <v>153</v>
      </c>
      <c r="D10" s="29" t="s">
        <v>148</v>
      </c>
      <c r="E10" s="29" t="s">
        <v>154</v>
      </c>
      <c r="F10" s="29" t="s">
        <v>138</v>
      </c>
    </row>
    <row r="11" customFormat="false" ht="23.85" hidden="false" customHeight="false" outlineLevel="0" collapsed="false">
      <c r="A11" s="29" t="n">
        <f aca="false">ROW()-5</f>
        <v>6</v>
      </c>
      <c r="B11" s="29" t="s">
        <v>152</v>
      </c>
      <c r="C11" s="29" t="s">
        <v>155</v>
      </c>
      <c r="D11" s="29" t="s">
        <v>148</v>
      </c>
      <c r="E11" s="29" t="s">
        <v>156</v>
      </c>
      <c r="F11" s="29" t="s">
        <v>138</v>
      </c>
    </row>
    <row r="12" customFormat="false" ht="14.25" hidden="false" customHeight="false" outlineLevel="0" collapsed="false">
      <c r="A12" s="29" t="n">
        <f aca="false">ROW()-5</f>
        <v>7</v>
      </c>
      <c r="B12" s="29" t="s">
        <v>157</v>
      </c>
      <c r="C12" s="29" t="s">
        <v>158</v>
      </c>
      <c r="D12" s="29" t="s">
        <v>136</v>
      </c>
      <c r="E12" s="29" t="s">
        <v>154</v>
      </c>
      <c r="F12" s="29" t="s">
        <v>138</v>
      </c>
    </row>
    <row r="13" customFormat="false" ht="23.85" hidden="false" customHeight="false" outlineLevel="0" collapsed="false">
      <c r="A13" s="29" t="n">
        <f aca="false">ROW()-5</f>
        <v>8</v>
      </c>
      <c r="B13" s="29" t="s">
        <v>159</v>
      </c>
      <c r="C13" s="29" t="s">
        <v>160</v>
      </c>
      <c r="D13" s="29" t="s">
        <v>136</v>
      </c>
      <c r="E13" s="29" t="s">
        <v>161</v>
      </c>
      <c r="F13" s="29" t="s">
        <v>138</v>
      </c>
    </row>
    <row r="14" customFormat="false" ht="23.85" hidden="false" customHeight="false" outlineLevel="0" collapsed="false">
      <c r="A14" s="29" t="n">
        <f aca="false">ROW()-5</f>
        <v>9</v>
      </c>
      <c r="B14" s="29" t="s">
        <v>162</v>
      </c>
      <c r="C14" s="29" t="s">
        <v>163</v>
      </c>
      <c r="D14" s="29" t="s">
        <v>141</v>
      </c>
      <c r="E14" s="29" t="s">
        <v>164</v>
      </c>
      <c r="F14" s="29" t="s">
        <v>138</v>
      </c>
    </row>
    <row r="15" customFormat="false" ht="23.85" hidden="false" customHeight="false" outlineLevel="0" collapsed="false">
      <c r="A15" s="29" t="n">
        <f aca="false">ROW()-5</f>
        <v>10</v>
      </c>
      <c r="B15" s="29" t="s">
        <v>165</v>
      </c>
      <c r="C15" s="29" t="s">
        <v>166</v>
      </c>
      <c r="D15" s="29" t="s">
        <v>148</v>
      </c>
      <c r="E15" s="29" t="s">
        <v>167</v>
      </c>
      <c r="F15" s="29" t="s">
        <v>138</v>
      </c>
    </row>
    <row r="16" customFormat="false" ht="23.85" hidden="false" customHeight="false" outlineLevel="0" collapsed="false">
      <c r="A16" s="29" t="n">
        <f aca="false">ROW()-5</f>
        <v>11</v>
      </c>
      <c r="B16" s="29" t="s">
        <v>168</v>
      </c>
      <c r="C16" s="29" t="s">
        <v>169</v>
      </c>
      <c r="D16" s="29" t="s">
        <v>136</v>
      </c>
      <c r="E16" s="29" t="s">
        <v>170</v>
      </c>
      <c r="F16" s="29" t="s">
        <v>138</v>
      </c>
    </row>
    <row r="17" customFormat="false" ht="23.85" hidden="false" customHeight="false" outlineLevel="0" collapsed="false">
      <c r="A17" s="29" t="n">
        <f aca="false">ROW()-5</f>
        <v>12</v>
      </c>
      <c r="B17" s="29" t="s">
        <v>171</v>
      </c>
      <c r="C17" s="29" t="s">
        <v>172</v>
      </c>
      <c r="D17" s="29" t="s">
        <v>136</v>
      </c>
      <c r="E17" s="29" t="s">
        <v>173</v>
      </c>
      <c r="F17" s="29" t="s">
        <v>138</v>
      </c>
    </row>
    <row r="18" customFormat="false" ht="14.25" hidden="false" customHeight="false" outlineLevel="0" collapsed="false">
      <c r="A18" s="29" t="n">
        <f aca="false">ROW()-5</f>
        <v>13</v>
      </c>
      <c r="B18" s="29"/>
      <c r="C18" s="29"/>
      <c r="D18" s="29"/>
      <c r="E18" s="29"/>
      <c r="F18" s="29"/>
    </row>
    <row r="19" customFormat="false" ht="14.25" hidden="false" customHeight="false" outlineLevel="0" collapsed="false">
      <c r="A19" s="29" t="n">
        <f aca="false">ROW()-5</f>
        <v>14</v>
      </c>
      <c r="B19" s="29"/>
      <c r="C19" s="29"/>
      <c r="D19" s="29"/>
      <c r="E19" s="29"/>
      <c r="F19" s="29"/>
    </row>
    <row r="20" customFormat="false" ht="14.25" hidden="false" customHeight="false" outlineLevel="0" collapsed="false">
      <c r="A20" s="29" t="n">
        <f aca="false">ROW()-5</f>
        <v>15</v>
      </c>
      <c r="B20" s="29"/>
      <c r="C20" s="29"/>
      <c r="D20" s="29"/>
      <c r="E20" s="29"/>
      <c r="F20" s="29"/>
    </row>
  </sheetData>
  <autoFilter ref="A4:F4"/>
  <mergeCells count="2">
    <mergeCell ref="A1:F1"/>
    <mergeCell ref="A2:F2"/>
  </mergeCells>
  <dataValidations count="2">
    <dataValidation allowBlank="true" errorStyle="stop" operator="between" showDropDown="false" showErrorMessage="false" showInputMessage="false" sqref="D5:D21" type="list">
      <formula1>"Low,Medium,High,Critical"</formula1>
      <formula2>0</formula2>
    </dataValidation>
    <dataValidation allowBlank="true" errorStyle="stop" operator="between" showDropDown="false" showErrorMessage="false" showInputMessage="false" sqref="F5:F21" type="list">
      <formula1>"Open,Resolved,Accepted / Won't Fix,Needs Discussion"</formula1>
      <formula2>0</formula2>
    </dataValidation>
  </dataValidation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963"/>
    <pageSetUpPr fitToPage="true"/>
  </sheetPr>
  <dimension ref="B2: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70"/>
  </cols>
  <sheetData>
    <row r="2" customFormat="false" ht="21" hidden="false" customHeight="true" outlineLevel="0" collapsed="false">
      <c r="B2" s="1" t="s">
        <v>14</v>
      </c>
    </row>
    <row r="3" customFormat="false" ht="27.75" hidden="false" customHeight="true" outlineLevel="0" collapsed="false">
      <c r="B3" s="2" t="s">
        <v>174</v>
      </c>
    </row>
    <row r="5" customFormat="false" ht="14.25" hidden="false" customHeight="false" outlineLevel="0" collapsed="false">
      <c r="B5" s="30" t="s">
        <v>175</v>
      </c>
      <c r="C5" s="5" t="e">
        <f aca="false">COUNTA('1. data dictionary'!#ref!,'1. data dictionary'!#ref!)</f>
        <v>#VALUE!</v>
      </c>
    </row>
    <row r="6" customFormat="false" ht="14.25" hidden="false" customHeight="false" outlineLevel="0" collapsed="false">
      <c r="B6" s="30" t="s">
        <v>176</v>
      </c>
      <c r="C6" s="31" t="e">
        <f aca="false">SUM('1. data dictionary'!#ref!,'1. data dictionary'!#ref!)</f>
        <v>#VALUE!</v>
      </c>
    </row>
    <row r="7" customFormat="false" ht="14.25" hidden="false" customHeight="false" outlineLevel="0" collapsed="false">
      <c r="B7" s="30" t="s">
        <v>177</v>
      </c>
      <c r="C7" s="5" t="e">
        <f aca="false">COUNTA('1. data dictionary'!#ref!)+COUNTA('1. data dictionary'!#ref!)</f>
        <v>#VALUE!</v>
      </c>
    </row>
    <row r="8" customFormat="false" ht="14.25" hidden="false" customHeight="false" outlineLevel="0" collapsed="false">
      <c r="B8" s="30" t="s">
        <v>178</v>
      </c>
      <c r="C8" s="5" t="n">
        <f aca="false">COUNTIF('3. Data Quality Log'!F6:F20,"Open")</f>
        <v>12</v>
      </c>
    </row>
    <row r="10" customFormat="false" ht="39.75" hidden="false" customHeight="true" outlineLevel="0" collapsed="false">
      <c r="B10" s="3" t="s">
        <v>179</v>
      </c>
      <c r="C10" s="32" t="s">
        <v>180</v>
      </c>
    </row>
    <row r="11" customFormat="false" ht="39.75" hidden="false" customHeight="true" outlineLevel="0" collapsed="false">
      <c r="B11" s="3" t="s">
        <v>181</v>
      </c>
      <c r="C11" s="32"/>
    </row>
    <row r="12" customFormat="false" ht="39.75" hidden="false" customHeight="true" outlineLevel="0" collapsed="false">
      <c r="B12" s="3" t="s">
        <v>182</v>
      </c>
      <c r="C12" s="32" t="s">
        <v>183</v>
      </c>
    </row>
    <row r="13" customFormat="false" ht="39.75" hidden="false" customHeight="true" outlineLevel="0" collapsed="false">
      <c r="B13" s="3" t="s">
        <v>184</v>
      </c>
      <c r="C13" s="32" t="s">
        <v>185</v>
      </c>
    </row>
    <row r="14" customFormat="false" ht="39.75" hidden="false" customHeight="true" outlineLevel="0" collapsed="false">
      <c r="B14" s="3" t="s">
        <v>186</v>
      </c>
      <c r="C14" s="32"/>
    </row>
    <row r="16" customFormat="false" ht="14.25" hidden="false" customHeight="false" outlineLevel="0" collapsed="false">
      <c r="B16" s="30" t="s">
        <v>187</v>
      </c>
      <c r="C16" s="33"/>
    </row>
    <row r="17" customFormat="false" ht="14.25" hidden="false" customHeight="false" outlineLevel="0" collapsed="false">
      <c r="B17" s="30" t="s">
        <v>188</v>
      </c>
      <c r="C17" s="33"/>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2026-08-03T06:53:21Z</dcterms:created>
  <dc:creator>openpyxl</dc:creator>
  <dc:description/>
  <dc:language>en-US</dc:language>
  <cp:lastModifiedBy>ubaidu bca</cp:lastModifiedBy>
  <dcterms:modified xsi:type="dcterms:W3CDTF">2026-09-09T06:21:57Z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